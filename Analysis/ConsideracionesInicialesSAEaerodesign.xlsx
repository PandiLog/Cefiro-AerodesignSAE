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<sst xmlns="http://schemas.openxmlformats.org/spreadsheetml/2006/main" count="61" uniqueCount="42">
  <si>
    <t>air density kg/m³.</t>
  </si>
  <si>
    <t>Dymanic Viscosity((Pa·s))</t>
  </si>
  <si>
    <t>Altitud</t>
  </si>
  <si>
    <t>Velocidad crucero(m/s) avion cargado +20kg</t>
  </si>
  <si>
    <t>Velocidad de despgue (m/s) avion cargado +20kg</t>
  </si>
  <si>
    <t>Cuerda alar</t>
  </si>
  <si>
    <t>WingArea</t>
  </si>
  <si>
    <t xml:space="preserve">Aspect ratio </t>
  </si>
  <si>
    <t xml:space="preserve"> wingspan</t>
  </si>
  <si>
    <t>Espesor deseado%</t>
  </si>
  <si>
    <t>Guadalajara</t>
  </si>
  <si>
    <t>Cd Juarez</t>
  </si>
  <si>
    <t>Van Nuys</t>
  </si>
  <si>
    <t>With airfoil NACA 4418</t>
  </si>
  <si>
    <t>Take Off Conditions</t>
  </si>
  <si>
    <t>Cruise Conditions</t>
  </si>
  <si>
    <t>Despegue</t>
  </si>
  <si>
    <t>ANGULO DE ATAQUE</t>
  </si>
  <si>
    <t>Crucero</t>
  </si>
  <si>
    <t>Reynolds calculations</t>
  </si>
  <si>
    <t>CL aproximmate calculations 25KG total weight</t>
  </si>
  <si>
    <t>5kg empty plane</t>
  </si>
  <si>
    <t>centro de masa con respecto a la cuerda(30%)</t>
  </si>
  <si>
    <t>Fuerza de sustentacion</t>
  </si>
  <si>
    <t>Fuerza para levantar 25kg</t>
  </si>
  <si>
    <t>Guadalajara Cruise</t>
  </si>
  <si>
    <t>p</t>
  </si>
  <si>
    <t>Guadalajara take off</t>
  </si>
  <si>
    <t>V</t>
  </si>
  <si>
    <t>Cd Juarez Cruise</t>
  </si>
  <si>
    <t>S</t>
  </si>
  <si>
    <t>Cd Juarez take off</t>
  </si>
  <si>
    <t>Cl</t>
  </si>
  <si>
    <t>Van Nuys Cruise</t>
  </si>
  <si>
    <t>L</t>
  </si>
  <si>
    <t>Van Nuys off</t>
  </si>
  <si>
    <t>Fuerza de arrastre</t>
  </si>
  <si>
    <t>Reynolds escala</t>
  </si>
  <si>
    <t>cd</t>
  </si>
  <si>
    <t>D</t>
  </si>
  <si>
    <t>Resistencia inducida</t>
  </si>
  <si>
    <t>Eficiencia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</si>
</sst>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Times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Fill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38"/>
    <col customWidth="1" min="3" max="3" width="36.75"/>
    <col customWidth="1" min="5" max="5" width="36.5"/>
    <col customWidth="1" min="6" max="6" width="26.75"/>
    <col customWidth="1" min="11" max="11" width="19.75"/>
    <col customWidth="1" min="12" max="12" width="20.0"/>
    <col customWidth="1" min="13" max="13" width="18.88"/>
    <col customWidth="1" min="17" max="17" width="19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1">
        <v>1.06</v>
      </c>
      <c r="C2" s="1">
        <v>1.89E-5</v>
      </c>
      <c r="E2" s="1">
        <v>16.0</v>
      </c>
      <c r="F2" s="1">
        <v>15.0</v>
      </c>
      <c r="H2" s="2">
        <f>I2/K2</f>
        <v>0.6857142857</v>
      </c>
      <c r="I2" s="2">
        <f>(K2^2)/J2</f>
        <v>1.645714286</v>
      </c>
      <c r="J2" s="1">
        <v>3.5</v>
      </c>
      <c r="K2" s="1">
        <v>2.4</v>
      </c>
      <c r="L2" s="3">
        <v>0.15</v>
      </c>
    </row>
    <row r="3">
      <c r="A3" s="1" t="s">
        <v>11</v>
      </c>
      <c r="B3" s="1">
        <v>1.01</v>
      </c>
      <c r="C3" s="1">
        <v>1.87E-5</v>
      </c>
      <c r="E3" s="1">
        <v>16.0</v>
      </c>
      <c r="F3" s="1">
        <v>15.0</v>
      </c>
      <c r="J3" s="1"/>
    </row>
    <row r="4">
      <c r="A4" s="1" t="s">
        <v>12</v>
      </c>
      <c r="B4" s="1">
        <v>1.2</v>
      </c>
      <c r="C4" s="1">
        <v>1.84E-5</v>
      </c>
      <c r="E4" s="1">
        <v>16.0</v>
      </c>
      <c r="F4" s="1">
        <v>15.0</v>
      </c>
      <c r="K4" s="1" t="s">
        <v>13</v>
      </c>
      <c r="L4" s="1" t="s">
        <v>14</v>
      </c>
      <c r="Q4" s="1" t="s">
        <v>15</v>
      </c>
    </row>
    <row r="5">
      <c r="K5" s="4" t="s">
        <v>16</v>
      </c>
      <c r="L5" s="4" t="s">
        <v>17</v>
      </c>
      <c r="M5" s="4">
        <v>8.7</v>
      </c>
      <c r="N5" s="5"/>
      <c r="P5" s="6" t="s">
        <v>18</v>
      </c>
      <c r="Q5" s="6" t="s">
        <v>17</v>
      </c>
      <c r="R5" s="6">
        <v>6.2</v>
      </c>
      <c r="S5" s="7"/>
    </row>
    <row r="6">
      <c r="B6" s="1" t="s">
        <v>19</v>
      </c>
      <c r="C6" s="1" t="s">
        <v>20</v>
      </c>
      <c r="D6" s="1" t="s">
        <v>21</v>
      </c>
      <c r="H6" s="1" t="s">
        <v>22</v>
      </c>
      <c r="K6" s="5"/>
      <c r="L6" s="4" t="s">
        <v>23</v>
      </c>
      <c r="M6" s="4" t="s">
        <v>24</v>
      </c>
      <c r="N6" s="5"/>
      <c r="P6" s="7"/>
      <c r="Q6" s="6" t="s">
        <v>23</v>
      </c>
      <c r="R6" s="6" t="s">
        <v>24</v>
      </c>
      <c r="S6" s="7"/>
    </row>
    <row r="7">
      <c r="A7" s="1" t="s">
        <v>25</v>
      </c>
      <c r="B7" s="2">
        <f>(B2*E2*H2)/C2</f>
        <v>615328.7982</v>
      </c>
      <c r="C7" s="2">
        <f>(25*9.81*2)/(B2*0.5*E2^2*I2)</f>
        <v>2.196689822</v>
      </c>
      <c r="D7" s="2">
        <f>(5*9.81*2)/(B2*0.5*E2^2*I2)</f>
        <v>0.4393379643</v>
      </c>
      <c r="H7" s="2">
        <f>H2*0.3</f>
        <v>0.2057142857</v>
      </c>
      <c r="K7" s="4" t="s">
        <v>26</v>
      </c>
      <c r="L7" s="4">
        <v>1.06</v>
      </c>
      <c r="M7" s="5"/>
      <c r="N7" s="5"/>
      <c r="P7" s="6" t="s">
        <v>26</v>
      </c>
      <c r="Q7" s="6">
        <v>1.06</v>
      </c>
      <c r="R7" s="7"/>
      <c r="S7" s="7"/>
    </row>
    <row r="8">
      <c r="A8" s="1" t="s">
        <v>27</v>
      </c>
      <c r="B8" s="2">
        <f>(B2*F2*H2)/C2</f>
        <v>576870.7483</v>
      </c>
      <c r="C8" s="2">
        <f>(25*9.81*2)/(B2*0.5*$F2^2*$I2)</f>
        <v>2.499344864</v>
      </c>
      <c r="D8" s="2">
        <f>(5*9.81*2)/(B2*0.5*$F2^2*$I2)</f>
        <v>0.4998689727</v>
      </c>
      <c r="K8" s="4" t="s">
        <v>28</v>
      </c>
      <c r="L8" s="4">
        <v>15.0</v>
      </c>
      <c r="M8" s="5"/>
      <c r="N8" s="5"/>
      <c r="P8" s="6" t="s">
        <v>28</v>
      </c>
      <c r="Q8" s="6">
        <v>16.0</v>
      </c>
      <c r="R8" s="7"/>
      <c r="S8" s="7"/>
    </row>
    <row r="9">
      <c r="A9" s="1" t="s">
        <v>29</v>
      </c>
      <c r="B9" s="2">
        <f>(B3*E2*H2)/C3</f>
        <v>592574.4843</v>
      </c>
      <c r="C9" s="2">
        <f>(25*9.81*2)/(B3*0.5*$E3^2*$I$2)</f>
        <v>2.305436843</v>
      </c>
      <c r="D9" s="2">
        <f>(5*9.81*2)/(B3*0.5*$E3^2*$I$2)</f>
        <v>0.4610873685</v>
      </c>
      <c r="K9" s="4" t="s">
        <v>30</v>
      </c>
      <c r="L9" s="5"/>
      <c r="M9" s="5"/>
      <c r="N9" s="5"/>
      <c r="P9" s="6" t="s">
        <v>30</v>
      </c>
      <c r="Q9" s="7"/>
      <c r="R9" s="7"/>
      <c r="S9" s="7"/>
    </row>
    <row r="10">
      <c r="A10" s="1" t="s">
        <v>31</v>
      </c>
      <c r="B10" s="1">
        <f>(B3*F2*H2)/C3</f>
        <v>555538.5791</v>
      </c>
      <c r="C10" s="2">
        <f>(25*9.81*2)/(B3*0.5*$F3^2*$I$2)</f>
        <v>2.623074807</v>
      </c>
      <c r="D10" s="2">
        <f>(5*9.81*2)/(B3*0.5*$F3^2*$I$2)</f>
        <v>0.5246149615</v>
      </c>
      <c r="K10" s="4" t="s">
        <v>32</v>
      </c>
      <c r="L10" s="4">
        <v>1.3</v>
      </c>
      <c r="M10" s="5"/>
      <c r="N10" s="5"/>
      <c r="P10" s="6" t="s">
        <v>32</v>
      </c>
      <c r="Q10" s="6">
        <v>1.1</v>
      </c>
      <c r="R10" s="7"/>
      <c r="S10" s="7"/>
    </row>
    <row r="11">
      <c r="A11" s="1" t="s">
        <v>33</v>
      </c>
      <c r="B11" s="2">
        <f>(B4*E2*H2)/C4</f>
        <v>715527.9503</v>
      </c>
      <c r="C11" s="2">
        <f>(25*9.81*2)/(B4*0.5*$E3^2*$I$2)</f>
        <v>1.940409342</v>
      </c>
      <c r="D11" s="2">
        <f>(5*9.81*2)/(B4*0.5*$E3^2*$I$2)</f>
        <v>0.3880818685</v>
      </c>
      <c r="K11" s="4" t="s">
        <v>34</v>
      </c>
      <c r="L11" s="8">
        <f>1/2*L7*L8^2*L10*I2</f>
        <v>255.1268571</v>
      </c>
      <c r="M11" s="2">
        <f>25*9.81</f>
        <v>245.25</v>
      </c>
      <c r="N11" s="5"/>
      <c r="P11" s="6" t="s">
        <v>34</v>
      </c>
      <c r="Q11" s="8">
        <f>1/2*Q7*Q8^2*I2*Q10</f>
        <v>245.6195657</v>
      </c>
      <c r="R11" s="7">
        <f>25*9.81</f>
        <v>245.25</v>
      </c>
      <c r="S11" s="7"/>
    </row>
    <row r="12">
      <c r="A12" s="1" t="s">
        <v>35</v>
      </c>
      <c r="B12" s="2">
        <f>(B4*F2*H2)/C4</f>
        <v>670807.4534</v>
      </c>
      <c r="C12" s="2">
        <f>(25*9.81*2)/(B4*0.5*$F3^2*$I$2)</f>
        <v>2.20775463</v>
      </c>
      <c r="D12" s="2">
        <f>(5*9.81*2)/(B4*0.5*$F3^2*$I$2)</f>
        <v>0.4415509259</v>
      </c>
      <c r="K12" s="5"/>
      <c r="L12" s="5"/>
      <c r="M12" s="5"/>
      <c r="N12" s="5"/>
      <c r="P12" s="7"/>
      <c r="Q12" s="7"/>
      <c r="R12" s="7"/>
      <c r="S12" s="7"/>
    </row>
    <row r="13">
      <c r="K13" s="5"/>
      <c r="L13" s="5"/>
      <c r="M13" s="5"/>
      <c r="N13" s="5"/>
      <c r="P13" s="7"/>
      <c r="Q13" s="7"/>
      <c r="R13" s="7"/>
      <c r="S13" s="7"/>
    </row>
    <row r="14">
      <c r="K14" s="5"/>
      <c r="L14" s="4" t="s">
        <v>36</v>
      </c>
      <c r="M14" s="5"/>
      <c r="N14" s="5"/>
      <c r="P14" s="7"/>
      <c r="Q14" s="6" t="s">
        <v>36</v>
      </c>
      <c r="R14" s="7"/>
      <c r="S14" s="7"/>
    </row>
    <row r="15">
      <c r="K15" s="4" t="s">
        <v>26</v>
      </c>
      <c r="L15" s="4">
        <v>1.06</v>
      </c>
      <c r="M15" s="5"/>
      <c r="N15" s="5"/>
      <c r="P15" s="6" t="s">
        <v>26</v>
      </c>
      <c r="Q15" s="6">
        <v>1.06</v>
      </c>
      <c r="R15" s="7"/>
      <c r="S15" s="7"/>
    </row>
    <row r="16">
      <c r="K16" s="4" t="s">
        <v>28</v>
      </c>
      <c r="L16" s="4">
        <v>15.0</v>
      </c>
      <c r="M16" s="5"/>
      <c r="N16" s="5"/>
      <c r="P16" s="6" t="s">
        <v>28</v>
      </c>
      <c r="Q16" s="6">
        <v>15.0</v>
      </c>
      <c r="R16" s="7"/>
      <c r="S16" s="7"/>
    </row>
    <row r="17">
      <c r="A17" s="1" t="s">
        <v>37</v>
      </c>
      <c r="B17" s="1">
        <f>(B2*16*0.07)/C2</f>
        <v>62814.81481</v>
      </c>
      <c r="C17" s="1">
        <v>58889.0</v>
      </c>
      <c r="K17" s="4" t="s">
        <v>30</v>
      </c>
      <c r="L17" s="5"/>
      <c r="M17" s="5"/>
      <c r="N17" s="5"/>
      <c r="P17" s="6" t="s">
        <v>30</v>
      </c>
      <c r="Q17" s="7"/>
      <c r="R17" s="7"/>
      <c r="S17" s="7"/>
    </row>
    <row r="18">
      <c r="K18" s="4" t="s">
        <v>38</v>
      </c>
      <c r="L18" s="4">
        <f>0.017+N19</f>
        <v>0.2092202002</v>
      </c>
      <c r="M18" s="5"/>
      <c r="N18" s="5"/>
      <c r="P18" s="6" t="s">
        <v>38</v>
      </c>
      <c r="Q18" s="6">
        <f>0.012+S19</f>
        <v>0.1496251137</v>
      </c>
      <c r="R18" s="7"/>
      <c r="S18" s="7"/>
    </row>
    <row r="19">
      <c r="K19" s="4" t="s">
        <v>39</v>
      </c>
      <c r="L19" s="5">
        <f>(1/2*L7*L8^2*I2*L18)+N19</f>
        <v>41.25198337</v>
      </c>
      <c r="M19" s="4" t="s">
        <v>40</v>
      </c>
      <c r="N19" s="5">
        <f>(L10^2)/(3.14*0.8*J2)</f>
        <v>0.1922202002</v>
      </c>
      <c r="P19" s="6" t="s">
        <v>39</v>
      </c>
      <c r="Q19" s="7">
        <f>(1/2*Q7*Q8^2*I2*Q18)+S19</f>
        <v>33.54749371</v>
      </c>
      <c r="R19" s="6" t="s">
        <v>40</v>
      </c>
      <c r="S19" s="7">
        <f>(Q10^2)/(3.14*0.8*J2)</f>
        <v>0.1376251137</v>
      </c>
    </row>
    <row r="20">
      <c r="K20" s="5"/>
      <c r="L20" s="5"/>
      <c r="M20" s="5"/>
      <c r="N20" s="5"/>
      <c r="P20" s="7"/>
      <c r="Q20" s="7"/>
      <c r="R20" s="7"/>
      <c r="S20" s="7"/>
    </row>
    <row r="22">
      <c r="G22" s="9"/>
      <c r="K22" s="4" t="s">
        <v>41</v>
      </c>
      <c r="L22" s="5">
        <f>L11/L19</f>
        <v>6.18459614</v>
      </c>
      <c r="M22" s="5"/>
      <c r="N22" s="5"/>
      <c r="P22" s="6" t="s">
        <v>41</v>
      </c>
      <c r="Q22" s="7">
        <f>Q11/Q19</f>
        <v>7.321547411</v>
      </c>
      <c r="R22" s="7"/>
      <c r="S22" s="7"/>
    </row>
  </sheetData>
  <drawing r:id="rId1"/>
</worksheet>
</file>