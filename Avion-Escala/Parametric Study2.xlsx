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loa\OneDrive\Escritorio\Cefiro\Avion-Escala\"/>
    </mc:Choice>
  </mc:AlternateContent>
  <xr:revisionPtr revIDLastSave="0" documentId="8_{E77F5481-5F7C-48A4-957E-0BBBD0C2501E}" xr6:coauthVersionLast="47" xr6:coauthVersionMax="47" xr10:uidLastSave="{00000000-0000-0000-0000-000000000000}"/>
  <bookViews>
    <workbookView xWindow="4110" yWindow="4110" windowWidth="21600" windowHeight="11235" firstSheet="1" activeTab="4" xr2:uid="{00000000-000D-0000-FFFF-FFFF00000000}"/>
  </bookViews>
  <sheets>
    <sheet name="GG Torque (Z) 4" sheetId="5" r:id="rId1"/>
    <sheet name="GG Force (Y) 3" sheetId="4" r:id="rId2"/>
    <sheet name="GG Force (X) 2" sheetId="3" r:id="rId3"/>
    <sheet name="GG Maximum Velocity (X) 1" sheetId="2" r:id="rId4"/>
    <sheet name="Parametric Study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 a="1"/>
  <c r="E23" i="1" s="1"/>
  <c r="G12" i="1"/>
  <c r="D24" i="1" s="1"/>
  <c r="D29" i="1"/>
  <c r="D30" i="1"/>
  <c r="D31" i="1"/>
  <c r="D32" i="1"/>
  <c r="D33" i="1"/>
  <c r="D23" i="1"/>
  <c r="D28" i="1" l="1"/>
  <c r="D27" i="1"/>
  <c r="D26" i="1"/>
  <c r="D25" i="1"/>
  <c r="C23" i="1" l="1"/>
  <c r="G11" i="1"/>
  <c r="C24" i="1"/>
  <c r="C25" i="1"/>
  <c r="C26" i="1"/>
  <c r="C27" i="1"/>
  <c r="C28" i="1"/>
  <c r="C29" i="1"/>
  <c r="C30" i="1"/>
  <c r="C31" i="1"/>
  <c r="C32" i="1"/>
  <c r="C33" i="1"/>
  <c r="C11" i="1" a="1"/>
  <c r="C11" i="1" s="1"/>
  <c r="B11" i="1" a="1"/>
  <c r="B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<sst xmlns="http://schemas.openxmlformats.org/spreadsheetml/2006/main" count="24" uniqueCount="24">
  <si>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D1@Angle1@CruiseBatchAnalysis2.Assembly [°]</t>
  </si>
  <si>
    <t>GG Maximum Velocity (X) 1 [m/s]</t>
  </si>
  <si>
    <t>GG Force (X) 2 [N]</t>
  </si>
  <si>
    <t>GG Force (Y) 3 [N]</t>
  </si>
  <si>
    <t>GG Torque (Z) 4 [N*m]</t>
  </si>
  <si>
    <t>Design Point 1</t>
  </si>
  <si>
    <t>Design Point 2</t>
  </si>
  <si>
    <t>Design Point 3</t>
  </si>
  <si>
    <t>Design Point 4</t>
  </si>
  <si>
    <t>Design Point 5</t>
  </si>
  <si>
    <t>Design Point 6</t>
  </si>
  <si>
    <t>Design Point 7</t>
  </si>
  <si>
    <t>Design Point 8</t>
  </si>
  <si>
    <t>Design Point 9</t>
  </si>
  <si>
    <t>Design Point 10</t>
  </si>
  <si>
    <t>Design Point 11</t>
  </si>
  <si>
    <t>Fuerza necesaria lift</t>
  </si>
  <si>
    <t>S</t>
  </si>
  <si>
    <t>mac</t>
  </si>
  <si>
    <t>Cm</t>
  </si>
  <si>
    <t>q del analisis</t>
  </si>
  <si>
    <t>V</t>
  </si>
  <si>
    <t>Lift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</si>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</sst>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FE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4F5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10" Type="http://schemas.openxmlformats.org/officeDocument/2006/relationships/calcChain" Target="calcChain.xml"/><Relationship Id="rId4" Type="http://schemas.openxmlformats.org/officeDocument/2006/relationships/chartsheet" Target="chartsheets/sheet4.xml"/><Relationship Id="rId9" Type="http://schemas.openxmlformats.org/officeDocument/2006/relationships/sheetMetadata" Target="metadata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GG Torque (Z) 4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000000"/>
            </a:solidFill>
            <a:ln w="28575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'Parametric Study'!$C$7:$M$7</c:f>
              <c:numCache>
                <c:formatCode>General</c:formatCode>
                <c:ptCount val="11"/>
                <c:pt idx="0">
                  <c:v>-9.2685375940367895E-2</c:v>
                </c:pt>
                <c:pt idx="1">
                  <c:v>-6.5852547845669601E-2</c:v>
                </c:pt>
                <c:pt idx="2">
                  <c:v>-3.4454668147822699E-2</c:v>
                </c:pt>
                <c:pt idx="3">
                  <c:v>-2.6572741891915101E-2</c:v>
                </c:pt>
                <c:pt idx="4">
                  <c:v>1.7080136403299698E-2</c:v>
                </c:pt>
                <c:pt idx="5">
                  <c:v>3.3257187277412399E-2</c:v>
                </c:pt>
                <c:pt idx="6">
                  <c:v>6.6844517882782006E-2</c:v>
                </c:pt>
                <c:pt idx="7">
                  <c:v>0.104374963079818</c:v>
                </c:pt>
                <c:pt idx="8">
                  <c:v>0.13043853394875701</c:v>
                </c:pt>
                <c:pt idx="9">
                  <c:v>0.12877930159017301</c:v>
                </c:pt>
                <c:pt idx="10">
                  <c:v>0.19534399835226299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F-4C30-8D6C-CED93511A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1125715855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Design Point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5715855"/>
        <c:crosses val="autoZero"/>
        <c:auto val="1"/>
        <c:lblAlgn val="ctr"/>
        <c:lblOffset val="100"/>
        <c:noMultiLvlLbl val="1"/>
      </c:catAx>
      <c:valAx>
        <c:axId val="11257158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GG Torque (Z) 4 [N*m]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GG Force (Y) 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000000"/>
            </a:solidFill>
            <a:ln w="28575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'Parametric Study'!$C$6:$M$6</c:f>
              <c:numCache>
                <c:formatCode>General</c:formatCode>
                <c:ptCount val="11"/>
                <c:pt idx="0">
                  <c:v>3.1484508139409799</c:v>
                </c:pt>
                <c:pt idx="1">
                  <c:v>4.5371000934169201</c:v>
                </c:pt>
                <c:pt idx="2">
                  <c:v>5.6922012124981798</c:v>
                </c:pt>
                <c:pt idx="3">
                  <c:v>6.5937170653819104</c:v>
                </c:pt>
                <c:pt idx="4">
                  <c:v>7.7424566170966704</c:v>
                </c:pt>
                <c:pt idx="5">
                  <c:v>8.8794273111870101</c:v>
                </c:pt>
                <c:pt idx="6">
                  <c:v>9.6785429935544105</c:v>
                </c:pt>
                <c:pt idx="7">
                  <c:v>10.648905907781399</c:v>
                </c:pt>
                <c:pt idx="8">
                  <c:v>11.409380927481401</c:v>
                </c:pt>
                <c:pt idx="9">
                  <c:v>12.0121460542489</c:v>
                </c:pt>
                <c:pt idx="10">
                  <c:v>12.2157195556901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1-4931-83EC-ABEBEFCF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"/>
        <c:axId val="1"/>
      </c:barChart>
      <c:cat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Design Point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GG Force (Y) 3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</c:valAx>
      <c:spPr>
        <a:noFill/>
      </c:spPr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GG Force (X) 2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000000"/>
            </a:solidFill>
            <a:ln w="28575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'Parametric Study'!$C$5:$M$5</c:f>
              <c:numCache>
                <c:formatCode>General</c:formatCode>
                <c:ptCount val="11"/>
                <c:pt idx="0">
                  <c:v>1.1517903089025301</c:v>
                </c:pt>
                <c:pt idx="1">
                  <c:v>1.2112912578602699</c:v>
                </c:pt>
                <c:pt idx="2">
                  <c:v>1.2303828494020399</c:v>
                </c:pt>
                <c:pt idx="3">
                  <c:v>1.17928146977695</c:v>
                </c:pt>
                <c:pt idx="4">
                  <c:v>1.1171151342766401</c:v>
                </c:pt>
                <c:pt idx="5">
                  <c:v>1.0064016793328501</c:v>
                </c:pt>
                <c:pt idx="6">
                  <c:v>0.85409034848926302</c:v>
                </c:pt>
                <c:pt idx="7">
                  <c:v>0.70986148655638803</c:v>
                </c:pt>
                <c:pt idx="8">
                  <c:v>0.51829652646611402</c:v>
                </c:pt>
                <c:pt idx="9">
                  <c:v>0.29342475575277299</c:v>
                </c:pt>
                <c:pt idx="10">
                  <c:v>0.15335864030528701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7-41AF-8525-644A2AF61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2"/>
      </c:barChart>
      <c:catAx>
        <c:axId val="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Design Point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GG Force (X) 2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</c:spPr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GG Maximum Velocity (X) 1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000000"/>
            </a:solidFill>
            <a:ln w="28575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'Parametric Study'!$C$4:$M$4</c:f>
              <c:numCache>
                <c:formatCode>General</c:formatCode>
                <c:ptCount val="11"/>
                <c:pt idx="0">
                  <c:v>16.434565182583199</c:v>
                </c:pt>
                <c:pt idx="1">
                  <c:v>16.746080300528899</c:v>
                </c:pt>
                <c:pt idx="2">
                  <c:v>16.999708668904901</c:v>
                </c:pt>
                <c:pt idx="3">
                  <c:v>17.218665598159099</c:v>
                </c:pt>
                <c:pt idx="4">
                  <c:v>17.453021014604801</c:v>
                </c:pt>
                <c:pt idx="5">
                  <c:v>17.7247038422048</c:v>
                </c:pt>
                <c:pt idx="6">
                  <c:v>17.853114566976</c:v>
                </c:pt>
                <c:pt idx="7">
                  <c:v>18.1422514557214</c:v>
                </c:pt>
                <c:pt idx="8">
                  <c:v>18.266372043226799</c:v>
                </c:pt>
                <c:pt idx="9">
                  <c:v>18.6180663007815</c:v>
                </c:pt>
                <c:pt idx="10">
                  <c:v>18.102672984065599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B-488F-9DBC-FB29AFFDF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"/>
        <c:axId val="3"/>
      </c:barChart>
      <c:catAx>
        <c:axId val="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Design Point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"/>
        <c:crosses val="autoZero"/>
        <c:auto val="1"/>
        <c:lblAlgn val="ctr"/>
        <c:lblOffset val="100"/>
        <c:noMultiLvlLbl val="1"/>
      </c:catAx>
      <c:valAx>
        <c:axId val="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GG Maximum Velocity (X) 1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"/>
        <c:crosses val="autoZero"/>
        <c:crossBetween val="between"/>
      </c:valAx>
      <c:spPr>
        <a:noFill/>
      </c:spPr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AoA vs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'Parametric Study'!$B$23:$B$33</c:f>
              <c:numCache>
                <c:formatCode>General</c:formatCode>
                <c:ptCount val="11"/>
                <c:pt idx="0">
                  <c:v>-6</c:v>
                </c:pt>
                <c:pt idx="1">
                  <c:v>-4</c:v>
                </c:pt>
                <c:pt idx="2">
                  <c:v>-2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xVal>
          <c:yVal>
            <c:numRef>
              <c:f>'Parametric Study'!$D$23:$D$33</c:f>
              <c:numCache>
                <c:formatCode>General</c:formatCode>
                <c:ptCount val="11"/>
                <c:pt idx="0">
                  <c:v>7.3191586936265984E-2</c:v>
                </c:pt>
                <c:pt idx="1">
                  <c:v>5.2002297360502145E-2</c:v>
                </c:pt>
                <c:pt idx="2">
                  <c:v>2.7208087721670732E-2</c:v>
                </c:pt>
                <c:pt idx="3">
                  <c:v>2.0983905266440044E-2</c:v>
                </c:pt>
                <c:pt idx="4">
                  <c:v>-1.348780512310483E-2</c:v>
                </c:pt>
                <c:pt idx="5">
                  <c:v>-2.6262463621407706E-2</c:v>
                </c:pt>
                <c:pt idx="6">
                  <c:v>-5.2785634111018165E-2</c:v>
                </c:pt>
                <c:pt idx="7">
                  <c:v>-8.2422594791448922E-2</c:v>
                </c:pt>
                <c:pt idx="8">
                  <c:v>-0.10300441898721867</c:v>
                </c:pt>
                <c:pt idx="9">
                  <c:v>-0.10169415997182772</c:v>
                </c:pt>
                <c:pt idx="10">
                  <c:v>-0.15425882554628936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F-4A27-BCFD-88F7FD5F8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937536"/>
        <c:axId val="793934176"/>
      </c:scatterChart>
      <c:valAx>
        <c:axId val="79393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3934176"/>
        <c:crosses val="autoZero"/>
        <c:crossBetween val="midCat"/>
      </c:valAx>
      <c:valAx>
        <c:axId val="7939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393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AoA</a:t>
            </a:r>
            <a:r>
              <a:rPr lang="es-MX" baseline="0"/>
              <a:t> vs LiftForce(N)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8715223097112859E-2"/>
          <c:y val="0.19486111111111112"/>
          <c:w val="0.9097292213473315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'Parametric Study'!$B$23:$B$33</c:f>
              <c:numCache>
                <c:formatCode>General</c:formatCode>
                <c:ptCount val="11"/>
                <c:pt idx="0">
                  <c:v>-6</c:v>
                </c:pt>
                <c:pt idx="1">
                  <c:v>-4</c:v>
                </c:pt>
                <c:pt idx="2">
                  <c:v>-2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</c:numCache>
            </c:numRef>
          </c:xVal>
          <c:yVal>
            <c:numRef>
              <c:f>'Parametric Study'!$E$23:$E$33</c:f>
              <c:numCache>
                <c:formatCode>General</c:formatCode>
                <c:ptCount val="11"/>
                <c:pt idx="0">
                  <c:v>3.1484508139409799</c:v>
                </c:pt>
                <c:pt idx="1">
                  <c:v>4.5371000934169201</c:v>
                </c:pt>
                <c:pt idx="2">
                  <c:v>5.6922012124981798</c:v>
                </c:pt>
                <c:pt idx="3">
                  <c:v>6.5937170653819104</c:v>
                </c:pt>
                <c:pt idx="4">
                  <c:v>7.7424566170966704</c:v>
                </c:pt>
                <c:pt idx="5">
                  <c:v>8.8794273111870101</c:v>
                </c:pt>
                <c:pt idx="6">
                  <c:v>9.6785429935544105</c:v>
                </c:pt>
                <c:pt idx="7">
                  <c:v>10.648905907781399</c:v>
                </c:pt>
                <c:pt idx="8">
                  <c:v>11.409380927481401</c:v>
                </c:pt>
                <c:pt idx="9">
                  <c:v>12.0121460542489</c:v>
                </c:pt>
                <c:pt idx="10">
                  <c:v>12.2157195556901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8-4F6A-AA8E-9AC550658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82320"/>
        <c:axId val="345680880"/>
      </c:scatterChart>
      <c:valAx>
        <c:axId val="34568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5680880"/>
        <c:crosses val="autoZero"/>
        <c:crossBetween val="midCat"/>
      </c:valAx>
      <c:valAx>
        <c:axId val="3456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568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0000" cy="65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151280</xdr:colOff>
      <xdr:row>20</xdr:row>
      <xdr:rowOff>24466</xdr:rowOff>
    </xdr:from>
    <xdr:to>
      <xdr:col>9</xdr:col>
      <xdr:colOff>399677</xdr:colOff>
      <xdr:row>34</xdr:row>
      <xdr:rowOff>152960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39DED5-F676-1107-3681-6B4261499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174625</xdr:colOff>
      <xdr:row>35</xdr:row>
      <xdr:rowOff>52480</xdr:rowOff>
    </xdr:from>
    <xdr:to>
      <xdr:col>9</xdr:col>
      <xdr:colOff>423022</xdr:colOff>
      <xdr:row>49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3BC7B2-BE62-C732-F801-914B7815E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33"/>
  <sheetViews>
    <sheetView tabSelected="1" zoomScale="102" workbookViewId="0">
      <selection activeCell="K25" sqref="K25"/>
    </sheetView>
  </sheetViews>
  <sheetFormatPr baseColWidth="10" defaultColWidth="9.140625" defaultRowHeight="15" x14ac:dyDescent="0.25"/>
  <cols>
    <col min="2" max="2" width="41" customWidth="1"/>
    <col min="3" max="5" width="15" customWidth="1"/>
    <col min="6" max="6" width="19.85546875" customWidth="1"/>
    <col min="7" max="11" width="15" customWidth="1"/>
    <col min="12" max="13" width="16" customWidth="1"/>
  </cols>
  <sheetData>
    <row r="2" spans="2:13" x14ac:dyDescent="0.25">
      <c r="B2" s="2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</row>
    <row r="3" spans="2:13" x14ac:dyDescent="0.25">
      <c r="B3" s="1" t="s">
        <v>0</v>
      </c>
      <c r="C3" s="1">
        <v>354</v>
      </c>
      <c r="D3" s="1">
        <v>356</v>
      </c>
      <c r="E3" s="1">
        <v>358</v>
      </c>
      <c r="F3" s="1">
        <v>0</v>
      </c>
      <c r="G3" s="1">
        <v>2</v>
      </c>
      <c r="H3" s="1">
        <v>4</v>
      </c>
      <c r="I3" s="1">
        <v>6</v>
      </c>
      <c r="J3" s="1">
        <v>8</v>
      </c>
      <c r="K3" s="1">
        <v>10</v>
      </c>
      <c r="L3" s="1">
        <v>12</v>
      </c>
      <c r="M3" s="1">
        <v>14</v>
      </c>
    </row>
    <row r="4" spans="2:13" x14ac:dyDescent="0.25">
      <c r="B4" s="3" t="s">
        <v>1</v>
      </c>
      <c r="C4" s="3">
        <v>16.434565182583199</v>
      </c>
      <c r="D4" s="3">
        <v>16.746080300528899</v>
      </c>
      <c r="E4" s="3">
        <v>16.999708668904901</v>
      </c>
      <c r="F4" s="3">
        <v>17.218665598159099</v>
      </c>
      <c r="G4" s="3">
        <v>17.453021014604801</v>
      </c>
      <c r="H4" s="3">
        <v>17.7247038422048</v>
      </c>
      <c r="I4" s="3">
        <v>17.853114566976</v>
      </c>
      <c r="J4" s="3">
        <v>18.1422514557214</v>
      </c>
      <c r="K4" s="3">
        <v>18.266372043226799</v>
      </c>
      <c r="L4" s="3">
        <v>18.6180663007815</v>
      </c>
      <c r="M4" s="3">
        <v>18.102672984065599</v>
      </c>
    </row>
    <row r="5" spans="2:13" x14ac:dyDescent="0.25">
      <c r="B5" s="3" t="s">
        <v>2</v>
      </c>
      <c r="C5" s="3">
        <v>1.1517903089025301</v>
      </c>
      <c r="D5" s="3">
        <v>1.2112912578602699</v>
      </c>
      <c r="E5" s="3">
        <v>1.2303828494020399</v>
      </c>
      <c r="F5" s="3">
        <v>1.17928146977695</v>
      </c>
      <c r="G5" s="3">
        <v>1.1171151342766401</v>
      </c>
      <c r="H5" s="3">
        <v>1.0064016793328501</v>
      </c>
      <c r="I5" s="3">
        <v>0.85409034848926302</v>
      </c>
      <c r="J5" s="3">
        <v>0.70986148655638803</v>
      </c>
      <c r="K5" s="3">
        <v>0.51829652646611402</v>
      </c>
      <c r="L5" s="3">
        <v>0.29342475575277299</v>
      </c>
      <c r="M5" s="3">
        <v>0.15335864030528701</v>
      </c>
    </row>
    <row r="6" spans="2:13" x14ac:dyDescent="0.25">
      <c r="B6" s="3" t="s">
        <v>3</v>
      </c>
      <c r="C6" s="3">
        <v>3.1484508139409799</v>
      </c>
      <c r="D6" s="3">
        <v>4.5371000934169201</v>
      </c>
      <c r="E6" s="3">
        <v>5.6922012124981798</v>
      </c>
      <c r="F6" s="3">
        <v>6.5937170653819104</v>
      </c>
      <c r="G6" s="3">
        <v>7.7424566170966704</v>
      </c>
      <c r="H6" s="3">
        <v>8.8794273111870101</v>
      </c>
      <c r="I6" s="3">
        <v>9.6785429935544105</v>
      </c>
      <c r="J6" s="3">
        <v>10.648905907781399</v>
      </c>
      <c r="K6" s="3">
        <v>11.409380927481401</v>
      </c>
      <c r="L6" s="3">
        <v>12.0121460542489</v>
      </c>
      <c r="M6" s="3">
        <v>12.2157195556901</v>
      </c>
    </row>
    <row r="7" spans="2:13" x14ac:dyDescent="0.25">
      <c r="B7" s="3" t="s">
        <v>4</v>
      </c>
      <c r="C7" s="3">
        <v>-9.2685375940367895E-2</v>
      </c>
      <c r="D7" s="3">
        <v>-6.5852547845669601E-2</v>
      </c>
      <c r="E7" s="3">
        <v>-3.4454668147822699E-2</v>
      </c>
      <c r="F7" s="3">
        <v>-2.6572741891915101E-2</v>
      </c>
      <c r="G7" s="3">
        <v>1.7080136403299698E-2</v>
      </c>
      <c r="H7" s="3">
        <v>3.3257187277412399E-2</v>
      </c>
      <c r="I7" s="3">
        <v>6.6844517882782006E-2</v>
      </c>
      <c r="J7" s="3">
        <v>0.104374963079818</v>
      </c>
      <c r="K7" s="3">
        <v>0.13043853394875701</v>
      </c>
      <c r="L7" s="3">
        <v>0.12877930159017301</v>
      </c>
      <c r="M7" s="3">
        <v>0.19534399835226299</v>
      </c>
    </row>
    <row r="9" spans="2:13" x14ac:dyDescent="0.25">
      <c r="J9" s="4"/>
    </row>
    <row r="10" spans="2:13" x14ac:dyDescent="0.25">
      <c r="F10" t="s">
        <v>21</v>
      </c>
      <c r="G10" s="5">
        <v>12</v>
      </c>
    </row>
    <row r="11" spans="2:13" x14ac:dyDescent="0.25">
      <c r="B11" cm="1">
        <f t="array" ref="B11:B21">TRANSPOSE(C3:M3)</f>
        <v>354</v>
      </c>
      <c r="C11" cm="1">
        <f t="array" ref="C11:C21">TRANSPOSE(C7:M7)</f>
        <v>-9.2685375940367895E-2</v>
      </c>
      <c r="F11" t="s">
        <v>16</v>
      </c>
      <c r="G11">
        <f>0.75*9.8</f>
        <v>7.3500000000000005</v>
      </c>
    </row>
    <row r="12" spans="2:13" x14ac:dyDescent="0.25">
      <c r="B12">
        <v>356</v>
      </c>
      <c r="C12">
        <v>-6.5852547845669601E-2</v>
      </c>
      <c r="F12" t="s">
        <v>20</v>
      </c>
      <c r="G12">
        <f>1/2*1.201*G10^2</f>
        <v>86.472000000000008</v>
      </c>
    </row>
    <row r="13" spans="2:13" x14ac:dyDescent="0.25">
      <c r="B13">
        <v>358</v>
      </c>
      <c r="C13">
        <v>-3.4454668147822699E-2</v>
      </c>
      <c r="F13" t="s">
        <v>17</v>
      </c>
      <c r="G13">
        <v>9.7500000000000003E-2</v>
      </c>
    </row>
    <row r="14" spans="2:13" x14ac:dyDescent="0.25">
      <c r="B14">
        <v>0</v>
      </c>
      <c r="C14">
        <v>-2.6572741891915101E-2</v>
      </c>
      <c r="F14" t="s">
        <v>18</v>
      </c>
      <c r="G14">
        <v>0.1502</v>
      </c>
      <c r="I14" s="4"/>
    </row>
    <row r="15" spans="2:13" x14ac:dyDescent="0.25">
      <c r="B15">
        <v>2</v>
      </c>
      <c r="C15">
        <v>1.7080136403299698E-2</v>
      </c>
    </row>
    <row r="16" spans="2:13" x14ac:dyDescent="0.25">
      <c r="B16">
        <v>4</v>
      </c>
      <c r="C16">
        <v>3.3257187277412399E-2</v>
      </c>
    </row>
    <row r="17" spans="2:8" x14ac:dyDescent="0.25">
      <c r="B17">
        <v>6</v>
      </c>
      <c r="C17">
        <v>6.6844517882782006E-2</v>
      </c>
    </row>
    <row r="18" spans="2:8" x14ac:dyDescent="0.25">
      <c r="B18">
        <v>8</v>
      </c>
      <c r="C18">
        <v>0.104374963079818</v>
      </c>
    </row>
    <row r="19" spans="2:8" x14ac:dyDescent="0.25">
      <c r="B19">
        <v>10</v>
      </c>
      <c r="C19">
        <v>0.13043853394875701</v>
      </c>
      <c r="H19" t="s">
        <v>23</v>
      </c>
    </row>
    <row r="20" spans="2:8" x14ac:dyDescent="0.25">
      <c r="B20">
        <v>12</v>
      </c>
      <c r="C20">
        <v>0.12877930159017301</v>
      </c>
    </row>
    <row r="21" spans="2:8" x14ac:dyDescent="0.25">
      <c r="B21">
        <v>14</v>
      </c>
      <c r="C21">
        <v>0.19534399835226299</v>
      </c>
    </row>
    <row r="22" spans="2:8" x14ac:dyDescent="0.25">
      <c r="D22" t="s">
        <v>19</v>
      </c>
      <c r="E22" t="s">
        <v>22</v>
      </c>
    </row>
    <row r="23" spans="2:8" x14ac:dyDescent="0.25">
      <c r="B23">
        <v>-6</v>
      </c>
      <c r="C23">
        <f>C11*-1</f>
        <v>9.2685375940367895E-2</v>
      </c>
      <c r="D23">
        <f>C23/($G$12*$G$13*$G$14)</f>
        <v>7.3191586936265984E-2</v>
      </c>
      <c r="E23" cm="1">
        <f t="array" ref="E23:E33">TRANSPOSE(C6:M6)</f>
        <v>3.1484508139409799</v>
      </c>
    </row>
    <row r="24" spans="2:8" x14ac:dyDescent="0.25">
      <c r="B24">
        <v>-4</v>
      </c>
      <c r="C24">
        <f t="shared" ref="C24:C33" si="0">C12*-1</f>
        <v>6.5852547845669601E-2</v>
      </c>
      <c r="D24">
        <f>C24/($G$12*$G$13*$G$14)</f>
        <v>5.2002297360502145E-2</v>
      </c>
      <c r="E24">
        <v>4.5371000934169201</v>
      </c>
    </row>
    <row r="25" spans="2:8" x14ac:dyDescent="0.25">
      <c r="B25">
        <v>-2</v>
      </c>
      <c r="C25">
        <f t="shared" si="0"/>
        <v>3.4454668147822699E-2</v>
      </c>
      <c r="D25">
        <f t="shared" ref="D25:D33" si="1">C25/($G$12*$G$13*$G$14)</f>
        <v>2.7208087721670732E-2</v>
      </c>
      <c r="E25">
        <v>5.6922012124981798</v>
      </c>
    </row>
    <row r="26" spans="2:8" x14ac:dyDescent="0.25">
      <c r="B26">
        <v>0</v>
      </c>
      <c r="C26">
        <f t="shared" si="0"/>
        <v>2.6572741891915101E-2</v>
      </c>
      <c r="D26">
        <f t="shared" si="1"/>
        <v>2.0983905266440044E-2</v>
      </c>
      <c r="E26">
        <v>6.5937170653819104</v>
      </c>
    </row>
    <row r="27" spans="2:8" x14ac:dyDescent="0.25">
      <c r="B27">
        <v>2</v>
      </c>
      <c r="C27">
        <f t="shared" si="0"/>
        <v>-1.7080136403299698E-2</v>
      </c>
      <c r="D27">
        <f t="shared" si="1"/>
        <v>-1.348780512310483E-2</v>
      </c>
      <c r="E27">
        <v>7.7424566170966704</v>
      </c>
    </row>
    <row r="28" spans="2:8" x14ac:dyDescent="0.25">
      <c r="B28">
        <v>4</v>
      </c>
      <c r="C28">
        <f t="shared" si="0"/>
        <v>-3.3257187277412399E-2</v>
      </c>
      <c r="D28">
        <f t="shared" si="1"/>
        <v>-2.6262463621407706E-2</v>
      </c>
      <c r="E28">
        <v>8.8794273111870101</v>
      </c>
    </row>
    <row r="29" spans="2:8" x14ac:dyDescent="0.25">
      <c r="B29">
        <v>6</v>
      </c>
      <c r="C29">
        <f t="shared" si="0"/>
        <v>-6.6844517882782006E-2</v>
      </c>
      <c r="D29">
        <f t="shared" si="1"/>
        <v>-5.2785634111018165E-2</v>
      </c>
      <c r="E29">
        <v>9.6785429935544105</v>
      </c>
    </row>
    <row r="30" spans="2:8" x14ac:dyDescent="0.25">
      <c r="B30">
        <v>8</v>
      </c>
      <c r="C30">
        <f t="shared" si="0"/>
        <v>-0.104374963079818</v>
      </c>
      <c r="D30">
        <f t="shared" si="1"/>
        <v>-8.2422594791448922E-2</v>
      </c>
      <c r="E30">
        <v>10.648905907781399</v>
      </c>
    </row>
    <row r="31" spans="2:8" x14ac:dyDescent="0.25">
      <c r="B31">
        <v>10</v>
      </c>
      <c r="C31">
        <f t="shared" si="0"/>
        <v>-0.13043853394875701</v>
      </c>
      <c r="D31">
        <f t="shared" si="1"/>
        <v>-0.10300441898721867</v>
      </c>
      <c r="E31">
        <v>11.409380927481401</v>
      </c>
    </row>
    <row r="32" spans="2:8" x14ac:dyDescent="0.25">
      <c r="B32">
        <v>12</v>
      </c>
      <c r="C32">
        <f t="shared" si="0"/>
        <v>-0.12877930159017301</v>
      </c>
      <c r="D32">
        <f t="shared" si="1"/>
        <v>-0.10169415997182772</v>
      </c>
      <c r="E32">
        <v>12.0121460542489</v>
      </c>
    </row>
    <row r="33" spans="2:5" x14ac:dyDescent="0.25">
      <c r="B33">
        <v>14</v>
      </c>
      <c r="C33">
        <f t="shared" si="0"/>
        <v>-0.19534399835226299</v>
      </c>
      <c r="D33">
        <f t="shared" si="1"/>
        <v>-0.15425882554628936</v>
      </c>
      <c r="E33">
        <v>12.2157195556901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4</vt:i4>
      </vt:variant>
    </vt:vector>
  </HeadingPairs>
  <TitlesOfParts>
    <vt:vector size="5" baseType="lpstr">
      <vt:lpstr>Parametric Study</vt:lpstr>
      <vt:lpstr>GG Torque (Z) 4</vt:lpstr>
      <vt:lpstr>GG Force (Y) 3</vt:lpstr>
      <vt:lpstr>GG Force (X) 2</vt:lpstr>
      <vt:lpstr>GG Maximum Velocity (X)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Galo Arechiga Gutiérrez</cp:lastModifiedBy>
  <dcterms:created xsi:type="dcterms:W3CDTF">2012-01-01T00:00:00Z</dcterms:created>
  <dcterms:modified xsi:type="dcterms:W3CDTF">2026-02-11T21:52:13Z</dcterms:modified>
</cp:coreProperties>
</file>